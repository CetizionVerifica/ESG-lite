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udy" sheetId="2" state="visible" r:id="rId2"/>
    <sheet xmlns:r="http://schemas.openxmlformats.org/officeDocument/2006/relationships" name="Factors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Allocation" sheetId="6" state="visible" r:id="rId6"/>
    <sheet xmlns:r="http://schemas.openxmlformats.org/officeDocument/2006/relationships" name="Result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00020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PCF-0 golden spreadsheet · Midal pilot</t>
        </is>
      </c>
    </row>
    <row r="2">
      <c r="A2" s="2" t="inlineStr">
        <is>
          <t>ALL NUMBERS ARE PLACEHOLDERS. This is NOT Midal data and must never be shown to a client as such.</t>
        </is>
      </c>
    </row>
    <row r="3">
      <c r="A3" s="3" t="inlineStr">
        <is>
          <t>Transport factors F-ROAD and F-SEA are the real DEFRA 2024 rows already in ESG-lite; everything else is invented.</t>
        </is>
      </c>
    </row>
    <row r="4">
      <c r="A4" s="3" t="inlineStr"/>
    </row>
    <row r="5">
      <c r="A5" s="3" t="inlineStr">
        <is>
          <t>Product: EC-grade aluminium wire rod 9.5 mm · declared unit 1 kg · cradle-to-gate · ISO 14067 · AR6 GWP100</t>
        </is>
      </c>
    </row>
    <row r="6">
      <c r="A6" s="3" t="inlineStr">
        <is>
          <t>Reference period: 2025-01-01 to 2025-12-31 (CY) · allocation key: mass</t>
        </is>
      </c>
    </row>
    <row r="7">
      <c r="A7" s="3" t="inlineStr"/>
    </row>
    <row r="8">
      <c r="A8" s="3" t="inlineStr">
        <is>
          <t>Yellow cells are inputs. Everything else is a formula; change an input and the Result sheet updates.</t>
        </is>
      </c>
    </row>
    <row r="9">
      <c r="A9" s="3" t="inlineStr">
        <is>
          <t>Sheets: Study, Factors, Inputs (A1, packaging, waste), Transport (A2), Allocation (A3 energy), Result, Reconciliation.</t>
        </is>
      </c>
    </row>
    <row r="10">
      <c r="A10" s="3" t="inlineStr">
        <is>
          <t>The calculation mirrors computePcf in E1 (docs/pcf/foundation/E1-data-and-engine/CLAUDE.md, steps 1-7).</t>
        </is>
      </c>
    </row>
    <row r="11">
      <c r="A11" s="3" t="inlineStr">
        <is>
          <t>pilot-golden.json carries the same inputs and the expected outputs for the E1 golden test (±0.5%).</t>
        </is>
      </c>
    </row>
    <row r="12">
      <c r="A12" s="3" t="inlineStr">
        <is>
          <t>Regenerate both with: python3 docs/pcf/phase0/build_golden.py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3" t="inlineStr">
        <is>
          <t>product</t>
        </is>
      </c>
      <c r="B2" s="5" t="inlineStr">
        <is>
          <t>EC-grade aluminium wire rod 9.5 mm</t>
        </is>
      </c>
    </row>
    <row r="3">
      <c r="A3" s="3" t="inlineStr">
        <is>
          <t>company</t>
        </is>
      </c>
      <c r="B3" s="5" t="inlineStr">
        <is>
          <t>Midal Cables (pilot)</t>
        </is>
      </c>
    </row>
    <row r="4">
      <c r="A4" s="3" t="inlineStr">
        <is>
          <t>site</t>
        </is>
      </c>
      <c r="B4" s="5" t="inlineStr">
        <is>
          <t>Bahrain plant (placeholder)</t>
        </is>
      </c>
    </row>
    <row r="5">
      <c r="A5" s="3" t="inlineStr">
        <is>
          <t>declared_unit</t>
        </is>
      </c>
      <c r="B5" s="5" t="inlineStr">
        <is>
          <t>kg</t>
        </is>
      </c>
    </row>
    <row r="6">
      <c r="A6" s="3" t="inlineStr">
        <is>
          <t>declared_unit_qty</t>
        </is>
      </c>
      <c r="B6" s="5" t="n">
        <v>1</v>
      </c>
    </row>
    <row r="7">
      <c r="A7" s="3" t="inlineStr">
        <is>
          <t>mass_per_unit_kg</t>
        </is>
      </c>
      <c r="B7" s="5" t="n">
        <v>1</v>
      </c>
    </row>
    <row r="8">
      <c r="A8" s="3" t="inlineStr">
        <is>
          <t>reference_start</t>
        </is>
      </c>
      <c r="B8" s="5" t="inlineStr">
        <is>
          <t>2025-01-01</t>
        </is>
      </c>
    </row>
    <row r="9">
      <c r="A9" s="3" t="inlineStr">
        <is>
          <t>reference_end</t>
        </is>
      </c>
      <c r="B9" s="5" t="inlineStr">
        <is>
          <t>2025-12-31</t>
        </is>
      </c>
    </row>
    <row r="10">
      <c r="A10" s="3" t="inlineStr">
        <is>
          <t>year_type</t>
        </is>
      </c>
      <c r="B10" s="5" t="inlineStr">
        <is>
          <t>CY</t>
        </is>
      </c>
    </row>
    <row r="11">
      <c r="A11" s="3" t="inlineStr">
        <is>
          <t>boundary</t>
        </is>
      </c>
      <c r="B11" s="5" t="inlineStr">
        <is>
          <t>cradle_to_gate</t>
        </is>
      </c>
    </row>
    <row r="12">
      <c r="A12" s="3" t="inlineStr">
        <is>
          <t>standard</t>
        </is>
      </c>
      <c r="B12" s="5" t="inlineStr">
        <is>
          <t>iso14067</t>
        </is>
      </c>
    </row>
    <row r="13">
      <c r="A13" s="3" t="inlineStr">
        <is>
          <t>pcr_tag</t>
        </is>
      </c>
      <c r="B13" s="5" t="inlineStr">
        <is>
          <t>PEP PCR-ed4 / EN 50693 (optional)</t>
        </is>
      </c>
    </row>
    <row r="14">
      <c r="A14" s="3" t="inlineStr">
        <is>
          <t>allocation_key</t>
        </is>
      </c>
      <c r="B14" s="5" t="inlineStr">
        <is>
          <t>mass</t>
        </is>
      </c>
    </row>
    <row r="15">
      <c r="A15" s="3" t="inlineStr">
        <is>
          <t>cut_off_rule_pct</t>
        </is>
      </c>
      <c r="B15" s="5" t="n">
        <v>1</v>
      </c>
    </row>
    <row r="16">
      <c r="A16" s="3" t="inlineStr">
        <is>
          <t>cut_off_max_total_pct</t>
        </is>
      </c>
      <c r="B16" s="5" t="n">
        <v>5</v>
      </c>
    </row>
    <row r="17">
      <c r="A17" s="3" t="inlineStr">
        <is>
          <t>gwp_set</t>
        </is>
      </c>
      <c r="B17" s="5" t="inlineStr">
        <is>
          <t>AR6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10" customWidth="1" min="4" max="4"/>
    <col width="14" customWidth="1" min="5" max="5"/>
    <col width="8" customWidth="1" min="6" max="6"/>
    <col width="58" customWidth="1" min="7" max="7"/>
    <col width="8" customWidth="1" min="8" max="8"/>
  </cols>
  <sheetData>
    <row r="1">
      <c r="A1" s="4" t="inlineStr">
        <is>
          <t>factor_id</t>
        </is>
      </c>
      <c r="B1" s="4" t="inlineStr">
        <is>
          <t>name</t>
        </is>
      </c>
      <c r="C1" s="4" t="inlineStr">
        <is>
          <t>material_group</t>
        </is>
      </c>
      <c r="D1" s="4" t="inlineStr">
        <is>
          <t>unit</t>
        </is>
      </c>
      <c r="E1" s="4" t="inlineStr">
        <is>
          <t>value_kgco2e</t>
        </is>
      </c>
      <c r="F1" s="4" t="inlineStr">
        <is>
          <t>gwp_set</t>
        </is>
      </c>
      <c r="G1" s="4" t="inlineStr">
        <is>
          <t>source</t>
        </is>
      </c>
      <c r="H1" s="4" t="inlineStr">
        <is>
          <t>licence</t>
        </is>
      </c>
    </row>
    <row r="2">
      <c r="A2" s="3" t="inlineStr">
        <is>
          <t>F-AL-P</t>
        </is>
      </c>
      <c r="B2" s="3" t="inlineStr">
        <is>
          <t>Primary aluminium, molten metal, GCC</t>
        </is>
      </c>
      <c r="C2" s="3" t="inlineStr">
        <is>
          <t>aluminium</t>
        </is>
      </c>
      <c r="D2" s="3" t="inlineStr">
        <is>
          <t>kg</t>
        </is>
      </c>
      <c r="E2" s="5" t="n">
        <v>8.6</v>
      </c>
      <c r="F2" s="3" t="inlineStr">
        <is>
          <t>AR6</t>
        </is>
      </c>
      <c r="G2" s="3" t="inlineStr">
        <is>
          <t>PLACEHOLDER (not Midal data)</t>
        </is>
      </c>
      <c r="H2" s="3" t="inlineStr">
        <is>
          <t>open</t>
        </is>
      </c>
    </row>
    <row r="3">
      <c r="A3" s="3" t="inlineStr">
        <is>
          <t>F-AL-R</t>
        </is>
      </c>
      <c r="B3" s="3" t="inlineStr">
        <is>
          <t>Recycled aluminium (cut-off: remelt only)</t>
        </is>
      </c>
      <c r="C3" s="3" t="inlineStr">
        <is>
          <t>aluminium</t>
        </is>
      </c>
      <c r="D3" s="3" t="inlineStr">
        <is>
          <t>kg</t>
        </is>
      </c>
      <c r="E3" s="5" t="n">
        <v>0.5</v>
      </c>
      <c r="F3" s="3" t="inlineStr">
        <is>
          <t>AR6</t>
        </is>
      </c>
      <c r="G3" s="3" t="inlineStr">
        <is>
          <t>PLACEHOLDER (not Midal data)</t>
        </is>
      </c>
      <c r="H3" s="3" t="inlineStr">
        <is>
          <t>open</t>
        </is>
      </c>
    </row>
    <row r="4">
      <c r="A4" s="3" t="inlineStr">
        <is>
          <t>F-ALB</t>
        </is>
      </c>
      <c r="B4" s="3" t="inlineStr">
        <is>
          <t>Al-B master alloy (AlB4)</t>
        </is>
      </c>
      <c r="C4" s="3" t="inlineStr">
        <is>
          <t>aluminium</t>
        </is>
      </c>
      <c r="D4" s="3" t="inlineStr">
        <is>
          <t>kg</t>
        </is>
      </c>
      <c r="E4" s="5" t="n">
        <v>12</v>
      </c>
      <c r="F4" s="3" t="inlineStr">
        <is>
          <t>AR6</t>
        </is>
      </c>
      <c r="G4" s="3" t="inlineStr">
        <is>
          <t>PLACEHOLDER (not Midal data)</t>
        </is>
      </c>
      <c r="H4" s="3" t="inlineStr">
        <is>
          <t>open</t>
        </is>
      </c>
    </row>
    <row r="5">
      <c r="A5" s="3" t="inlineStr">
        <is>
          <t>F-LUB</t>
        </is>
      </c>
      <c r="B5" s="3" t="inlineStr">
        <is>
          <t>Rolling emulsion concentrate</t>
        </is>
      </c>
      <c r="C5" s="3" t="inlineStr">
        <is>
          <t>chemical</t>
        </is>
      </c>
      <c r="D5" s="3" t="inlineStr">
        <is>
          <t>kg</t>
        </is>
      </c>
      <c r="E5" s="5" t="n">
        <v>1.8</v>
      </c>
      <c r="F5" s="3" t="inlineStr">
        <is>
          <t>AR6</t>
        </is>
      </c>
      <c r="G5" s="3" t="inlineStr">
        <is>
          <t>PLACEHOLDER (not Midal data)</t>
        </is>
      </c>
      <c r="H5" s="3" t="inlineStr">
        <is>
          <t>open</t>
        </is>
      </c>
    </row>
    <row r="6">
      <c r="A6" s="3" t="inlineStr">
        <is>
          <t>F-PAL</t>
        </is>
      </c>
      <c r="B6" s="3" t="inlineStr">
        <is>
          <t>Wooden pallet (fossil part only)</t>
        </is>
      </c>
      <c r="C6" s="3" t="inlineStr">
        <is>
          <t>packaging</t>
        </is>
      </c>
      <c r="D6" s="3" t="inlineStr">
        <is>
          <t>kg</t>
        </is>
      </c>
      <c r="E6" s="5" t="n">
        <v>0.25</v>
      </c>
      <c r="F6" s="3" t="inlineStr">
        <is>
          <t>AR6</t>
        </is>
      </c>
      <c r="G6" s="3" t="inlineStr">
        <is>
          <t>PLACEHOLDER (not Midal data)</t>
        </is>
      </c>
      <c r="H6" s="3" t="inlineStr">
        <is>
          <t>open</t>
        </is>
      </c>
    </row>
    <row r="7">
      <c r="A7" s="3" t="inlineStr">
        <is>
          <t>F-STR</t>
        </is>
      </c>
      <c r="B7" s="3" t="inlineStr">
        <is>
          <t>Steel strapping</t>
        </is>
      </c>
      <c r="C7" s="3" t="inlineStr">
        <is>
          <t>packaging</t>
        </is>
      </c>
      <c r="D7" s="3" t="inlineStr">
        <is>
          <t>kg</t>
        </is>
      </c>
      <c r="E7" s="5" t="n">
        <v>2.3</v>
      </c>
      <c r="F7" s="3" t="inlineStr">
        <is>
          <t>AR6</t>
        </is>
      </c>
      <c r="G7" s="3" t="inlineStr">
        <is>
          <t>PLACEHOLDER (not Midal data)</t>
        </is>
      </c>
      <c r="H7" s="3" t="inlineStr">
        <is>
          <t>open</t>
        </is>
      </c>
    </row>
    <row r="8">
      <c r="A8" s="3" t="inlineStr">
        <is>
          <t>F-PE</t>
        </is>
      </c>
      <c r="B8" s="3" t="inlineStr">
        <is>
          <t>PE stretch film</t>
        </is>
      </c>
      <c r="C8" s="3" t="inlineStr">
        <is>
          <t>packaging</t>
        </is>
      </c>
      <c r="D8" s="3" t="inlineStr">
        <is>
          <t>kg</t>
        </is>
      </c>
      <c r="E8" s="5" t="n">
        <v>2.6</v>
      </c>
      <c r="F8" s="3" t="inlineStr">
        <is>
          <t>AR6</t>
        </is>
      </c>
      <c r="G8" s="3" t="inlineStr">
        <is>
          <t>PLACEHOLDER (not Midal data)</t>
        </is>
      </c>
      <c r="H8" s="3" t="inlineStr">
        <is>
          <t>open</t>
        </is>
      </c>
    </row>
    <row r="9">
      <c r="A9" s="3" t="inlineStr">
        <is>
          <t>F-LDF</t>
        </is>
      </c>
      <c r="B9" s="3" t="inlineStr">
        <is>
          <t>Industrial waste to landfill</t>
        </is>
      </c>
      <c r="C9" s="3" t="inlineStr">
        <is>
          <t>waste</t>
        </is>
      </c>
      <c r="D9" s="3" t="inlineStr">
        <is>
          <t>kg</t>
        </is>
      </c>
      <c r="E9" s="5" t="n">
        <v>0.5</v>
      </c>
      <c r="F9" s="3" t="inlineStr">
        <is>
          <t>AR6</t>
        </is>
      </c>
      <c r="G9" s="3" t="inlineStr">
        <is>
          <t>PLACEHOLDER (not Midal data)</t>
        </is>
      </c>
      <c r="H9" s="3" t="inlineStr">
        <is>
          <t>open</t>
        </is>
      </c>
    </row>
    <row r="10">
      <c r="A10" s="3" t="inlineStr">
        <is>
          <t>F-HAZ</t>
        </is>
      </c>
      <c r="B10" s="3" t="inlineStr">
        <is>
          <t>Spent emulsion to treatment</t>
        </is>
      </c>
      <c r="C10" s="3" t="inlineStr">
        <is>
          <t>waste</t>
        </is>
      </c>
      <c r="D10" s="3" t="inlineStr">
        <is>
          <t>kg</t>
        </is>
      </c>
      <c r="E10" s="5" t="n">
        <v>0.9</v>
      </c>
      <c r="F10" s="3" t="inlineStr">
        <is>
          <t>AR6</t>
        </is>
      </c>
      <c r="G10" s="3" t="inlineStr">
        <is>
          <t>PLACEHOLDER (not Midal data)</t>
        </is>
      </c>
      <c r="H10" s="3" t="inlineStr">
        <is>
          <t>open</t>
        </is>
      </c>
    </row>
    <row r="11">
      <c r="A11" s="3" t="inlineStr">
        <is>
          <t>F-ROAD</t>
        </is>
      </c>
      <c r="B11" s="3" t="inlineStr">
        <is>
          <t>Road - HGV (all diesel) - All rigids [tonne.km]</t>
        </is>
      </c>
      <c r="C11" s="3" t="inlineStr">
        <is>
          <t>transport</t>
        </is>
      </c>
      <c r="D11" s="3" t="inlineStr">
        <is>
          <t>tonne.km</t>
        </is>
      </c>
      <c r="E11" s="5" t="n">
        <v>0.2408</v>
      </c>
      <c r="F11" s="3" t="inlineStr">
        <is>
          <t>AR6</t>
        </is>
      </c>
      <c r="G11" s="3" t="inlineStr">
        <is>
          <t>DEFRA 2024 Freighting goods + WTT (existing EmissionFactor row, 2025)</t>
        </is>
      </c>
      <c r="H11" s="3" t="inlineStr">
        <is>
          <t>open</t>
        </is>
      </c>
    </row>
    <row r="12">
      <c r="A12" s="3" t="inlineStr">
        <is>
          <t>F-SEA</t>
        </is>
      </c>
      <c r="B12" s="3" t="inlineStr">
        <is>
          <t>Sea - Cargo ship - General Cargo</t>
        </is>
      </c>
      <c r="C12" s="3" t="inlineStr">
        <is>
          <t>transport</t>
        </is>
      </c>
      <c r="D12" s="3" t="inlineStr">
        <is>
          <t>tonne.km</t>
        </is>
      </c>
      <c r="E12" s="5" t="n">
        <v>0.0162</v>
      </c>
      <c r="F12" s="3" t="inlineStr">
        <is>
          <t>AR6</t>
        </is>
      </c>
      <c r="G12" s="3" t="inlineStr">
        <is>
          <t>DEFRA 2024 Freighting goods + WTT (existing EmissionFactor row, 2025)</t>
        </is>
      </c>
      <c r="H12" s="3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9" customWidth="1" min="4" max="4"/>
    <col width="12" customWidth="1" min="5" max="5"/>
    <col width="12" customWidth="1" min="6" max="6"/>
    <col width="6" customWidth="1" min="7" max="7"/>
    <col width="12" customWidth="1" min="8" max="8"/>
    <col width="12" customWidth="1" min="9" max="9"/>
    <col width="12" customWidth="1" min="10" max="10"/>
    <col width="15" customWidth="1" min="11" max="11"/>
    <col width="10" customWidth="1" min="12" max="12"/>
    <col width="9" customWidth="1" min="13" max="13"/>
    <col width="9" customWidth="1" min="14" max="14"/>
    <col width="9" customWidth="1" min="15" max="15"/>
  </cols>
  <sheetData>
    <row r="1">
      <c r="A1" s="4" t="inlineStr">
        <is>
          <t>id</t>
        </is>
      </c>
      <c r="B1" s="4" t="inlineStr">
        <is>
          <t>stage</t>
        </is>
      </c>
      <c r="C1" s="4" t="inlineStr">
        <is>
          <t>name</t>
        </is>
      </c>
      <c r="D1" s="4" t="inlineStr">
        <is>
          <t>factor_id</t>
        </is>
      </c>
      <c r="E1" s="4" t="inlineStr">
        <is>
          <t>recycled_factor_id</t>
        </is>
      </c>
      <c r="F1" s="4" t="inlineStr">
        <is>
          <t>qty_per_unit</t>
        </is>
      </c>
      <c r="G1" s="4" t="inlineStr">
        <is>
          <t>unit</t>
        </is>
      </c>
      <c r="H1" s="4" t="inlineStr">
        <is>
          <t>recycled_share_pct</t>
        </is>
      </c>
      <c r="I1" s="4" t="inlineStr">
        <is>
          <t>virgin_factor</t>
        </is>
      </c>
      <c r="J1" s="4" t="inlineStr">
        <is>
          <t>recycled_factor</t>
        </is>
      </c>
      <c r="K1" s="4" t="inlineStr">
        <is>
          <t>kgco2e_per_unit</t>
        </is>
      </c>
      <c r="L1" s="4" t="inlineStr">
        <is>
          <t>data_type</t>
        </is>
      </c>
      <c r="M1" s="4" t="inlineStr">
        <is>
          <t>dqr_technology</t>
        </is>
      </c>
      <c r="N1" s="4" t="inlineStr">
        <is>
          <t>dqr_geography</t>
        </is>
      </c>
      <c r="O1" s="4" t="inlineStr">
        <is>
          <t>dqr_time</t>
        </is>
      </c>
    </row>
    <row r="2">
      <c r="A2" s="3" t="inlineStr">
        <is>
          <t>I1</t>
        </is>
      </c>
      <c r="B2" s="3" t="inlineStr">
        <is>
          <t>A1</t>
        </is>
      </c>
      <c r="C2" s="3" t="inlineStr">
        <is>
          <t>Aluminium (incl. 1.2% process loss)</t>
        </is>
      </c>
      <c r="D2" s="3" t="inlineStr">
        <is>
          <t>F-AL-P</t>
        </is>
      </c>
      <c r="E2" s="3" t="inlineStr">
        <is>
          <t>F-AL-R</t>
        </is>
      </c>
      <c r="F2" s="5" t="n">
        <v>1.012</v>
      </c>
      <c r="G2" s="3" t="inlineStr">
        <is>
          <t>kg</t>
        </is>
      </c>
      <c r="H2" s="5" t="n">
        <v>5</v>
      </c>
      <c r="I2" s="3">
        <f>Factors!$E$2</f>
        <v/>
      </c>
      <c r="J2" s="3">
        <f>Factors!$E$3</f>
        <v/>
      </c>
      <c r="K2" s="3">
        <f>F2*((1-H2/100)*I2+(H2/100)*J2)</f>
        <v/>
      </c>
      <c r="L2" s="3" t="inlineStr">
        <is>
          <t>secondary</t>
        </is>
      </c>
      <c r="M2" s="5" t="n">
        <v>2</v>
      </c>
      <c r="N2" s="5" t="n">
        <v>2</v>
      </c>
      <c r="O2" s="5" t="n">
        <v>1</v>
      </c>
    </row>
    <row r="3">
      <c r="A3" s="3" t="inlineStr">
        <is>
          <t>I2</t>
        </is>
      </c>
      <c r="B3" s="3" t="inlineStr">
        <is>
          <t>A1</t>
        </is>
      </c>
      <c r="C3" s="3" t="inlineStr">
        <is>
          <t>Al-B master alloy</t>
        </is>
      </c>
      <c r="D3" s="3" t="inlineStr">
        <is>
          <t>F-ALB</t>
        </is>
      </c>
      <c r="E3" s="3" t="inlineStr"/>
      <c r="F3" s="5" t="n">
        <v>0.002</v>
      </c>
      <c r="G3" s="3" t="inlineStr">
        <is>
          <t>kg</t>
        </is>
      </c>
      <c r="H3" s="5" t="n">
        <v>0</v>
      </c>
      <c r="I3" s="3">
        <f>Factors!$E$4</f>
        <v/>
      </c>
      <c r="J3" s="3">
        <f>Factors!$E$4</f>
        <v/>
      </c>
      <c r="K3" s="3">
        <f>F3*((1-H3/100)*I3+(H3/100)*J3)</f>
        <v/>
      </c>
      <c r="L3" s="3" t="inlineStr">
        <is>
          <t>secondary</t>
        </is>
      </c>
      <c r="M3" s="5" t="n">
        <v>2</v>
      </c>
      <c r="N3" s="5" t="n">
        <v>3</v>
      </c>
      <c r="O3" s="5" t="n">
        <v>2</v>
      </c>
    </row>
    <row r="4">
      <c r="A4" s="3" t="inlineStr">
        <is>
          <t>I3</t>
        </is>
      </c>
      <c r="B4" s="3" t="inlineStr">
        <is>
          <t>A1</t>
        </is>
      </c>
      <c r="C4" s="3" t="inlineStr">
        <is>
          <t>Rolling emulsion concentrate</t>
        </is>
      </c>
      <c r="D4" s="3" t="inlineStr">
        <is>
          <t>F-LUB</t>
        </is>
      </c>
      <c r="E4" s="3" t="inlineStr"/>
      <c r="F4" s="5" t="n">
        <v>0.0008</v>
      </c>
      <c r="G4" s="3" t="inlineStr">
        <is>
          <t>kg</t>
        </is>
      </c>
      <c r="H4" s="5" t="n">
        <v>0</v>
      </c>
      <c r="I4" s="3">
        <f>Factors!$E$5</f>
        <v/>
      </c>
      <c r="J4" s="3">
        <f>Factors!$E$5</f>
        <v/>
      </c>
      <c r="K4" s="3">
        <f>F4*((1-H4/100)*I4+(H4/100)*J4)</f>
        <v/>
      </c>
      <c r="L4" s="3" t="inlineStr">
        <is>
          <t>secondary</t>
        </is>
      </c>
      <c r="M4" s="5" t="n">
        <v>3</v>
      </c>
      <c r="N4" s="5" t="n">
        <v>3</v>
      </c>
      <c r="O4" s="5" t="n">
        <v>2</v>
      </c>
    </row>
    <row r="5">
      <c r="A5" s="3" t="inlineStr">
        <is>
          <t>I4</t>
        </is>
      </c>
      <c r="B5" s="3" t="inlineStr">
        <is>
          <t>A3_packaging</t>
        </is>
      </c>
      <c r="C5" s="3" t="inlineStr">
        <is>
          <t>Wooden pallet</t>
        </is>
      </c>
      <c r="D5" s="3" t="inlineStr">
        <is>
          <t>F-PAL</t>
        </is>
      </c>
      <c r="E5" s="3" t="inlineStr"/>
      <c r="F5" s="5" t="n">
        <v>0.004</v>
      </c>
      <c r="G5" s="3" t="inlineStr">
        <is>
          <t>kg</t>
        </is>
      </c>
      <c r="H5" s="5" t="n">
        <v>0</v>
      </c>
      <c r="I5" s="3">
        <f>Factors!$E$6</f>
        <v/>
      </c>
      <c r="J5" s="3">
        <f>Factors!$E$6</f>
        <v/>
      </c>
      <c r="K5" s="3">
        <f>F5*((1-H5/100)*I5+(H5/100)*J5)</f>
        <v/>
      </c>
      <c r="L5" s="3" t="inlineStr">
        <is>
          <t>secondary</t>
        </is>
      </c>
      <c r="M5" s="5" t="n">
        <v>2</v>
      </c>
      <c r="N5" s="5" t="n">
        <v>2</v>
      </c>
      <c r="O5" s="5" t="n">
        <v>2</v>
      </c>
    </row>
    <row r="6">
      <c r="A6" s="3" t="inlineStr">
        <is>
          <t>I5</t>
        </is>
      </c>
      <c r="B6" s="3" t="inlineStr">
        <is>
          <t>A3_packaging</t>
        </is>
      </c>
      <c r="C6" s="3" t="inlineStr">
        <is>
          <t>Steel strapping</t>
        </is>
      </c>
      <c r="D6" s="3" t="inlineStr">
        <is>
          <t>F-STR</t>
        </is>
      </c>
      <c r="E6" s="3" t="inlineStr"/>
      <c r="F6" s="5" t="n">
        <v>0.0015</v>
      </c>
      <c r="G6" s="3" t="inlineStr">
        <is>
          <t>kg</t>
        </is>
      </c>
      <c r="H6" s="5" t="n">
        <v>0</v>
      </c>
      <c r="I6" s="3">
        <f>Factors!$E$7</f>
        <v/>
      </c>
      <c r="J6" s="3">
        <f>Factors!$E$7</f>
        <v/>
      </c>
      <c r="K6" s="3">
        <f>F6*((1-H6/100)*I6+(H6/100)*J6)</f>
        <v/>
      </c>
      <c r="L6" s="3" t="inlineStr">
        <is>
          <t>secondary</t>
        </is>
      </c>
      <c r="M6" s="5" t="n">
        <v>2</v>
      </c>
      <c r="N6" s="5" t="n">
        <v>2</v>
      </c>
      <c r="O6" s="5" t="n">
        <v>2</v>
      </c>
    </row>
    <row r="7">
      <c r="A7" s="3" t="inlineStr">
        <is>
          <t>I6</t>
        </is>
      </c>
      <c r="B7" s="3" t="inlineStr">
        <is>
          <t>A3_packaging</t>
        </is>
      </c>
      <c r="C7" s="3" t="inlineStr">
        <is>
          <t>PE stretch film</t>
        </is>
      </c>
      <c r="D7" s="3" t="inlineStr">
        <is>
          <t>F-PE</t>
        </is>
      </c>
      <c r="E7" s="3" t="inlineStr"/>
      <c r="F7" s="5" t="n">
        <v>0.0005999999999999999</v>
      </c>
      <c r="G7" s="3" t="inlineStr">
        <is>
          <t>kg</t>
        </is>
      </c>
      <c r="H7" s="5" t="n">
        <v>0</v>
      </c>
      <c r="I7" s="3">
        <f>Factors!$E$8</f>
        <v/>
      </c>
      <c r="J7" s="3">
        <f>Factors!$E$8</f>
        <v/>
      </c>
      <c r="K7" s="3">
        <f>F7*((1-H7/100)*I7+(H7/100)*J7)</f>
        <v/>
      </c>
      <c r="L7" s="3" t="inlineStr">
        <is>
          <t>secondary</t>
        </is>
      </c>
      <c r="M7" s="5" t="n">
        <v>2</v>
      </c>
      <c r="N7" s="5" t="n">
        <v>2</v>
      </c>
      <c r="O7" s="5" t="n">
        <v>2</v>
      </c>
    </row>
    <row r="8">
      <c r="A8" s="3" t="inlineStr">
        <is>
          <t>I7</t>
        </is>
      </c>
      <c r="B8" s="3" t="inlineStr">
        <is>
          <t>A3_waste</t>
        </is>
      </c>
      <c r="C8" s="3" t="inlineStr">
        <is>
          <t>Industrial waste to landfill</t>
        </is>
      </c>
      <c r="D8" s="3" t="inlineStr">
        <is>
          <t>F-LDF</t>
        </is>
      </c>
      <c r="E8" s="3" t="inlineStr"/>
      <c r="F8" s="5" t="n">
        <v>0.003</v>
      </c>
      <c r="G8" s="3" t="inlineStr">
        <is>
          <t>kg</t>
        </is>
      </c>
      <c r="H8" s="5" t="n">
        <v>0</v>
      </c>
      <c r="I8" s="3">
        <f>Factors!$E$9</f>
        <v/>
      </c>
      <c r="J8" s="3">
        <f>Factors!$E$9</f>
        <v/>
      </c>
      <c r="K8" s="3">
        <f>F8*((1-H8/100)*I8+(H8/100)*J8)</f>
        <v/>
      </c>
      <c r="L8" s="3" t="inlineStr">
        <is>
          <t>primary</t>
        </is>
      </c>
      <c r="M8" s="5" t="n">
        <v>2</v>
      </c>
      <c r="N8" s="5" t="n">
        <v>2</v>
      </c>
      <c r="O8" s="5" t="n">
        <v>1</v>
      </c>
    </row>
    <row r="9">
      <c r="A9" s="3" t="inlineStr">
        <is>
          <t>I8</t>
        </is>
      </c>
      <c r="B9" s="3" t="inlineStr">
        <is>
          <t>A3_waste</t>
        </is>
      </c>
      <c r="C9" s="3" t="inlineStr">
        <is>
          <t>Spent emulsion to treatment</t>
        </is>
      </c>
      <c r="D9" s="3" t="inlineStr">
        <is>
          <t>F-HAZ</t>
        </is>
      </c>
      <c r="E9" s="3" t="inlineStr"/>
      <c r="F9" s="5" t="n">
        <v>0.0005</v>
      </c>
      <c r="G9" s="3" t="inlineStr">
        <is>
          <t>kg</t>
        </is>
      </c>
      <c r="H9" s="5" t="n">
        <v>0</v>
      </c>
      <c r="I9" s="3">
        <f>Factors!$E$10</f>
        <v/>
      </c>
      <c r="J9" s="3">
        <f>Factors!$E$10</f>
        <v/>
      </c>
      <c r="K9" s="3">
        <f>F9*((1-H9/100)*I9+(H9/100)*J9)</f>
        <v/>
      </c>
      <c r="L9" s="3" t="inlineStr">
        <is>
          <t>primary</t>
        </is>
      </c>
      <c r="M9" s="5" t="n">
        <v>2</v>
      </c>
      <c r="N9" s="5" t="n">
        <v>2</v>
      </c>
      <c r="O9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52" customWidth="1" min="3" max="3"/>
    <col width="12" customWidth="1" min="4" max="4"/>
    <col width="15" customWidth="1" min="5" max="5"/>
    <col width="9" customWidth="1" min="6" max="6"/>
    <col width="11" customWidth="1" min="7" max="7"/>
    <col width="14" customWidth="1" min="8" max="8"/>
    <col width="15" customWidth="1" min="9" max="9"/>
    <col width="10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id</t>
        </is>
      </c>
      <c r="B1" s="4" t="inlineStr">
        <is>
          <t>stage</t>
        </is>
      </c>
      <c r="C1" s="4" t="inlineStr">
        <is>
          <t>name</t>
        </is>
      </c>
      <c r="D1" s="4" t="inlineStr">
        <is>
          <t>carried_input</t>
        </is>
      </c>
      <c r="E1" s="4" t="inlineStr">
        <is>
          <t>mass_t_per_unit</t>
        </is>
      </c>
      <c r="F1" s="4" t="inlineStr">
        <is>
          <t>factor_id</t>
        </is>
      </c>
      <c r="G1" s="4" t="inlineStr">
        <is>
          <t>distance_km</t>
        </is>
      </c>
      <c r="H1" s="4" t="inlineStr">
        <is>
          <t>factor_kgco2e_per_tkm</t>
        </is>
      </c>
      <c r="I1" s="4" t="inlineStr">
        <is>
          <t>kgco2e_per_unit</t>
        </is>
      </c>
      <c r="J1" s="4" t="inlineStr">
        <is>
          <t>data_type</t>
        </is>
      </c>
      <c r="K1" s="4" t="inlineStr">
        <is>
          <t>dqr_technology</t>
        </is>
      </c>
      <c r="L1" s="4" t="inlineStr">
        <is>
          <t>dqr_geography</t>
        </is>
      </c>
      <c r="M1" s="4" t="inlineStr">
        <is>
          <t>dqr_time</t>
        </is>
      </c>
    </row>
    <row r="2">
      <c r="A2" s="3" t="inlineStr">
        <is>
          <t>T1</t>
        </is>
      </c>
      <c r="B2" s="3" t="inlineStr">
        <is>
          <t>A2</t>
        </is>
      </c>
      <c r="C2" s="3" t="inlineStr">
        <is>
          <t>Molten metal, smelter to plant (road)</t>
        </is>
      </c>
      <c r="D2" s="3" t="inlineStr">
        <is>
          <t>I1</t>
        </is>
      </c>
      <c r="E2" s="3">
        <f>Inputs!F2/1000</f>
        <v/>
      </c>
      <c r="F2" s="3" t="inlineStr">
        <is>
          <t>F-ROAD</t>
        </is>
      </c>
      <c r="G2" s="5" t="n">
        <v>5</v>
      </c>
      <c r="H2" s="3">
        <f>Factors!$E$11</f>
        <v/>
      </c>
      <c r="I2" s="3">
        <f>E2*G2*H2</f>
        <v/>
      </c>
      <c r="J2" s="3" t="inlineStr">
        <is>
          <t>primary</t>
        </is>
      </c>
      <c r="K2" s="5" t="n">
        <v>1</v>
      </c>
      <c r="L2" s="5" t="n">
        <v>1</v>
      </c>
      <c r="M2" s="5" t="n">
        <v>1</v>
      </c>
    </row>
    <row r="3">
      <c r="A3" s="3" t="inlineStr">
        <is>
          <t>T2</t>
        </is>
      </c>
      <c r="B3" s="3" t="inlineStr">
        <is>
          <t>A2</t>
        </is>
      </c>
      <c r="C3" s="3" t="inlineStr">
        <is>
          <t>Master alloy, Rotterdam to Khalifa Bin Salman port (sea)</t>
        </is>
      </c>
      <c r="D3" s="3" t="inlineStr">
        <is>
          <t>I2</t>
        </is>
      </c>
      <c r="E3" s="3">
        <f>Inputs!F3/1000</f>
        <v/>
      </c>
      <c r="F3" s="3" t="inlineStr">
        <is>
          <t>F-SEA</t>
        </is>
      </c>
      <c r="G3" s="5" t="n">
        <v>11800</v>
      </c>
      <c r="H3" s="3">
        <f>Factors!$E$12</f>
        <v/>
      </c>
      <c r="I3" s="3">
        <f>E3*G3*H3</f>
        <v/>
      </c>
      <c r="J3" s="3" t="inlineStr">
        <is>
          <t>secondary</t>
        </is>
      </c>
      <c r="K3" s="5" t="n">
        <v>2</v>
      </c>
      <c r="L3" s="5" t="n">
        <v>2</v>
      </c>
      <c r="M3" s="5" t="n">
        <v>2</v>
      </c>
    </row>
    <row r="4">
      <c r="A4" s="3" t="inlineStr">
        <is>
          <t>T3</t>
        </is>
      </c>
      <c r="B4" s="3" t="inlineStr">
        <is>
          <t>A2</t>
        </is>
      </c>
      <c r="C4" s="3" t="inlineStr">
        <is>
          <t>Master alloy, port to plant (road)</t>
        </is>
      </c>
      <c r="D4" s="3" t="inlineStr">
        <is>
          <t>I2</t>
        </is>
      </c>
      <c r="E4" s="3">
        <f>Inputs!F3/1000</f>
        <v/>
      </c>
      <c r="F4" s="3" t="inlineStr">
        <is>
          <t>F-ROAD</t>
        </is>
      </c>
      <c r="G4" s="5" t="n">
        <v>40</v>
      </c>
      <c r="H4" s="3">
        <f>Factors!$E$11</f>
        <v/>
      </c>
      <c r="I4" s="3">
        <f>E4*G4*H4</f>
        <v/>
      </c>
      <c r="J4" s="3" t="inlineStr">
        <is>
          <t>secondary</t>
        </is>
      </c>
      <c r="K4" s="5" t="n">
        <v>2</v>
      </c>
      <c r="L4" s="5" t="n">
        <v>2</v>
      </c>
      <c r="M4" s="5" t="n">
        <v>2</v>
      </c>
    </row>
    <row r="5">
      <c r="A5" s="3" t="inlineStr">
        <is>
          <t>T4</t>
        </is>
      </c>
      <c r="B5" s="3" t="inlineStr">
        <is>
          <t>A2</t>
        </is>
      </c>
      <c r="C5" s="3" t="inlineStr">
        <is>
          <t>Emulsion concentrate, Jebel Ali to plant (sea)</t>
        </is>
      </c>
      <c r="D5" s="3" t="inlineStr">
        <is>
          <t>I3</t>
        </is>
      </c>
      <c r="E5" s="3">
        <f>Inputs!F4/1000</f>
        <v/>
      </c>
      <c r="F5" s="3" t="inlineStr">
        <is>
          <t>F-SEA</t>
        </is>
      </c>
      <c r="G5" s="5" t="n">
        <v>900</v>
      </c>
      <c r="H5" s="3">
        <f>Factors!$E$12</f>
        <v/>
      </c>
      <c r="I5" s="3">
        <f>E5*G5*H5</f>
        <v/>
      </c>
      <c r="J5" s="3" t="inlineStr">
        <is>
          <t>secondary</t>
        </is>
      </c>
      <c r="K5" s="5" t="n">
        <v>2</v>
      </c>
      <c r="L5" s="5" t="n">
        <v>2</v>
      </c>
      <c r="M5" s="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7" customWidth="1" min="3" max="3"/>
    <col width="18" customWidth="1" min="4" max="4"/>
    <col width="10" customWidth="1" min="5" max="5"/>
    <col width="24" customWidth="1" min="6" max="6"/>
    <col width="10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Approved ProductionData at the site in the reference period (t)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product</t>
        </is>
      </c>
      <c r="B2" s="4" t="inlineStr">
        <is>
          <t>quantity_t</t>
        </is>
      </c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inlineStr">
        <is>
          <t>EC-grade aluminium wire rod 9.5 mm</t>
        </is>
      </c>
      <c r="B3" s="5" t="n">
        <v>120000</v>
      </c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inlineStr">
        <is>
          <t>Alloy rod 6101</t>
        </is>
      </c>
      <c r="B4" s="5" t="n">
        <v>60000</v>
      </c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inlineStr">
        <is>
          <t>AAAC / ACSR conductor</t>
        </is>
      </c>
      <c r="B5" s="5" t="n">
        <v>90000</v>
      </c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inlineStr">
        <is>
          <t>Other products</t>
        </is>
      </c>
      <c r="B6" s="5" t="n">
        <v>30000</v>
      </c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1" t="inlineStr">
        <is>
          <t>site total (key_value_site_total)</t>
        </is>
      </c>
      <c r="B7" s="3">
        <f>SUM(B3:B6)</f>
        <v/>
      </c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1" t="inlineStr">
        <is>
          <t>pilot product (key_value_product)</t>
        </is>
      </c>
      <c r="B8" s="3">
        <f>B3</f>
        <v/>
      </c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1" t="inlineStr">
        <is>
          <t>share = product / site</t>
        </is>
      </c>
      <c r="B9" s="3">
        <f>B8/B7</f>
        <v/>
      </c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1" t="inlineStr">
        <is>
          <t>product output in declared units</t>
        </is>
      </c>
      <c r="B10" s="3">
        <f>B8*1000/Study!$B$7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1" t="inlineStr">
        <is>
          <t>Approved Emission rows, Scope 1 + 2 only, same site and period (tCO2e)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4" t="inlineStr">
        <is>
          <t>id</t>
        </is>
      </c>
      <c r="B12" s="4" t="inlineStr">
        <is>
          <t>category</t>
        </is>
      </c>
      <c r="C12" s="4" t="inlineStr">
        <is>
          <t>scope</t>
        </is>
      </c>
      <c r="D12" s="4" t="inlineStr">
        <is>
          <t>period_total_tco2e</t>
        </is>
      </c>
      <c r="E12" s="4" t="inlineStr">
        <is>
          <t>share</t>
        </is>
      </c>
      <c r="F12" s="4" t="inlineStr">
        <is>
          <t>allocated_kgco2e_per_unit</t>
        </is>
      </c>
      <c r="G12" s="4" t="inlineStr">
        <is>
          <t>data_type</t>
        </is>
      </c>
      <c r="H12" s="4" t="inlineStr">
        <is>
          <t>dqr_technology</t>
        </is>
      </c>
      <c r="I12" s="4" t="inlineStr">
        <is>
          <t>dqr_geography</t>
        </is>
      </c>
      <c r="J12" s="4" t="inlineStr">
        <is>
          <t>dqr_time</t>
        </is>
      </c>
    </row>
    <row r="13">
      <c r="A13" s="3" t="inlineStr">
        <is>
          <t>E1</t>
        </is>
      </c>
      <c r="B13" s="3" t="inlineStr">
        <is>
          <t>Stationary combustion - Natural gas</t>
        </is>
      </c>
      <c r="C13" s="3" t="n">
        <v>1</v>
      </c>
      <c r="D13" s="5" t="n">
        <v>18000</v>
      </c>
      <c r="E13" s="3">
        <f>$B$9</f>
        <v/>
      </c>
      <c r="F13" s="3">
        <f>D13*1000*E13/$B$10</f>
        <v/>
      </c>
      <c r="G13" s="3" t="inlineStr">
        <is>
          <t>primary</t>
        </is>
      </c>
      <c r="H13" s="3" t="n">
        <v>1</v>
      </c>
      <c r="I13" s="3" t="n">
        <v>1</v>
      </c>
      <c r="J13" s="3" t="n">
        <v>1</v>
      </c>
    </row>
    <row r="14">
      <c r="A14" s="3" t="inlineStr">
        <is>
          <t>E2</t>
        </is>
      </c>
      <c r="B14" s="3" t="inlineStr">
        <is>
          <t>Mobile combustion - Diesel (forklifts)</t>
        </is>
      </c>
      <c r="C14" s="3" t="n">
        <v>1</v>
      </c>
      <c r="D14" s="5" t="n">
        <v>600</v>
      </c>
      <c r="E14" s="3">
        <f>$B$9</f>
        <v/>
      </c>
      <c r="F14" s="3">
        <f>D14*1000*E14/$B$10</f>
        <v/>
      </c>
      <c r="G14" s="3" t="inlineStr">
        <is>
          <t>primary</t>
        </is>
      </c>
      <c r="H14" s="3" t="n">
        <v>1</v>
      </c>
      <c r="I14" s="3" t="n">
        <v>1</v>
      </c>
      <c r="J14" s="3" t="n">
        <v>1</v>
      </c>
    </row>
    <row r="15">
      <c r="A15" s="3" t="inlineStr">
        <is>
          <t>E3</t>
        </is>
      </c>
      <c r="B15" s="3" t="inlineStr">
        <is>
          <t>Stationary combustion - LPG</t>
        </is>
      </c>
      <c r="C15" s="3" t="n">
        <v>1</v>
      </c>
      <c r="D15" s="5" t="n">
        <v>150</v>
      </c>
      <c r="E15" s="3">
        <f>$B$9</f>
        <v/>
      </c>
      <c r="F15" s="3">
        <f>D15*1000*E15/$B$10</f>
        <v/>
      </c>
      <c r="G15" s="3" t="inlineStr">
        <is>
          <t>primary</t>
        </is>
      </c>
      <c r="H15" s="3" t="n">
        <v>1</v>
      </c>
      <c r="I15" s="3" t="n">
        <v>1</v>
      </c>
      <c r="J15" s="3" t="n">
        <v>1</v>
      </c>
    </row>
    <row r="16">
      <c r="A16" s="3" t="inlineStr">
        <is>
          <t>E4</t>
        </is>
      </c>
      <c r="B16" s="3" t="inlineStr">
        <is>
          <t>Purchased electricity (location-based)</t>
        </is>
      </c>
      <c r="C16" s="3" t="n">
        <v>2</v>
      </c>
      <c r="D16" s="5" t="n">
        <v>42000</v>
      </c>
      <c r="E16" s="3">
        <f>$B$9</f>
        <v/>
      </c>
      <c r="F16" s="3">
        <f>D16*1000*E16/$B$10</f>
        <v/>
      </c>
      <c r="G16" s="3" t="inlineStr">
        <is>
          <t>primary</t>
        </is>
      </c>
      <c r="H16" s="3" t="n">
        <v>1</v>
      </c>
      <c r="I16" s="3" t="n">
        <v>1</v>
      </c>
      <c r="J16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16" customWidth="1" min="4" max="4"/>
    <col width="16" customWidth="1" min="5" max="5"/>
    <col width="12" customWidth="1" min="6" max="6"/>
    <col width="10" customWidth="1" min="7" max="7"/>
    <col width="9" customWidth="1" min="8" max="8"/>
    <col width="9" customWidth="1" min="9" max="9"/>
    <col width="9" customWidth="1" min="10" max="10"/>
  </cols>
  <sheetData>
    <row r="1">
      <c r="A1" s="2" t="inlineStr">
        <is>
          <t>Result per declared unit (kg CO2e / 1 kg rod) · PLACEHOLDER NUMBERS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id</t>
        </is>
      </c>
      <c r="B3" s="4" t="inlineStr">
        <is>
          <t>stage</t>
        </is>
      </c>
      <c r="C3" s="4" t="inlineStr">
        <is>
          <t>name</t>
        </is>
      </c>
      <c r="D3" s="4" t="inlineStr">
        <is>
          <t>kgco2e_per_unit</t>
        </is>
      </c>
      <c r="E3" s="4" t="inlineStr">
        <is>
          <t>share_of_total_pct</t>
        </is>
      </c>
      <c r="F3" s="4" t="inlineStr">
        <is>
          <t>below_cut_off</t>
        </is>
      </c>
      <c r="G3" s="4" t="inlineStr">
        <is>
          <t>data_type</t>
        </is>
      </c>
      <c r="H3" s="4" t="inlineStr">
        <is>
          <t>dqr_technology</t>
        </is>
      </c>
      <c r="I3" s="4" t="inlineStr">
        <is>
          <t>dqr_geography</t>
        </is>
      </c>
      <c r="J3" s="4" t="inlineStr">
        <is>
          <t>dqr_time</t>
        </is>
      </c>
    </row>
    <row r="4">
      <c r="A4" s="3">
        <f>Inputs!A2</f>
        <v/>
      </c>
      <c r="B4" s="3">
        <f>Inputs!B2</f>
        <v/>
      </c>
      <c r="C4" s="3">
        <f>Inputs!C2</f>
        <v/>
      </c>
      <c r="D4" s="3">
        <f>Inputs!K2</f>
        <v/>
      </c>
      <c r="E4" s="3">
        <f>D4/$D$22*100</f>
        <v/>
      </c>
      <c r="F4" s="3">
        <f>IF(E4&lt;Study!$B$15,"yes","no")</f>
        <v/>
      </c>
      <c r="G4" s="3">
        <f>Inputs!L2</f>
        <v/>
      </c>
      <c r="H4" s="3">
        <f>Inputs!M2</f>
        <v/>
      </c>
      <c r="I4" s="3">
        <f>Inputs!N2</f>
        <v/>
      </c>
      <c r="J4" s="3">
        <f>Inputs!O2</f>
        <v/>
      </c>
    </row>
    <row r="5">
      <c r="A5" s="3">
        <f>Inputs!A3</f>
        <v/>
      </c>
      <c r="B5" s="3">
        <f>Inputs!B3</f>
        <v/>
      </c>
      <c r="C5" s="3">
        <f>Inputs!C3</f>
        <v/>
      </c>
      <c r="D5" s="3">
        <f>Inputs!K3</f>
        <v/>
      </c>
      <c r="E5" s="3">
        <f>D5/$D$22*100</f>
        <v/>
      </c>
      <c r="F5" s="3">
        <f>IF(E5&lt;Study!$B$15,"yes","no")</f>
        <v/>
      </c>
      <c r="G5" s="3">
        <f>Inputs!L3</f>
        <v/>
      </c>
      <c r="H5" s="3">
        <f>Inputs!M3</f>
        <v/>
      </c>
      <c r="I5" s="3">
        <f>Inputs!N3</f>
        <v/>
      </c>
      <c r="J5" s="3">
        <f>Inputs!O3</f>
        <v/>
      </c>
    </row>
    <row r="6">
      <c r="A6" s="3">
        <f>Inputs!A4</f>
        <v/>
      </c>
      <c r="B6" s="3">
        <f>Inputs!B4</f>
        <v/>
      </c>
      <c r="C6" s="3">
        <f>Inputs!C4</f>
        <v/>
      </c>
      <c r="D6" s="3">
        <f>Inputs!K4</f>
        <v/>
      </c>
      <c r="E6" s="3">
        <f>D6/$D$22*100</f>
        <v/>
      </c>
      <c r="F6" s="3">
        <f>IF(E6&lt;Study!$B$15,"yes","no")</f>
        <v/>
      </c>
      <c r="G6" s="3">
        <f>Inputs!L4</f>
        <v/>
      </c>
      <c r="H6" s="3">
        <f>Inputs!M4</f>
        <v/>
      </c>
      <c r="I6" s="3">
        <f>Inputs!N4</f>
        <v/>
      </c>
      <c r="J6" s="3">
        <f>Inputs!O4</f>
        <v/>
      </c>
    </row>
    <row r="7">
      <c r="A7" s="3">
        <f>Inputs!A5</f>
        <v/>
      </c>
      <c r="B7" s="3">
        <f>Inputs!B5</f>
        <v/>
      </c>
      <c r="C7" s="3">
        <f>Inputs!C5</f>
        <v/>
      </c>
      <c r="D7" s="3">
        <f>Inputs!K5</f>
        <v/>
      </c>
      <c r="E7" s="3">
        <f>D7/$D$22*100</f>
        <v/>
      </c>
      <c r="F7" s="3">
        <f>IF(E7&lt;Study!$B$15,"yes","no")</f>
        <v/>
      </c>
      <c r="G7" s="3">
        <f>Inputs!L5</f>
        <v/>
      </c>
      <c r="H7" s="3">
        <f>Inputs!M5</f>
        <v/>
      </c>
      <c r="I7" s="3">
        <f>Inputs!N5</f>
        <v/>
      </c>
      <c r="J7" s="3">
        <f>Inputs!O5</f>
        <v/>
      </c>
    </row>
    <row r="8">
      <c r="A8" s="3">
        <f>Inputs!A6</f>
        <v/>
      </c>
      <c r="B8" s="3">
        <f>Inputs!B6</f>
        <v/>
      </c>
      <c r="C8" s="3">
        <f>Inputs!C6</f>
        <v/>
      </c>
      <c r="D8" s="3">
        <f>Inputs!K6</f>
        <v/>
      </c>
      <c r="E8" s="3">
        <f>D8/$D$22*100</f>
        <v/>
      </c>
      <c r="F8" s="3">
        <f>IF(E8&lt;Study!$B$15,"yes","no")</f>
        <v/>
      </c>
      <c r="G8" s="3">
        <f>Inputs!L6</f>
        <v/>
      </c>
      <c r="H8" s="3">
        <f>Inputs!M6</f>
        <v/>
      </c>
      <c r="I8" s="3">
        <f>Inputs!N6</f>
        <v/>
      </c>
      <c r="J8" s="3">
        <f>Inputs!O6</f>
        <v/>
      </c>
    </row>
    <row r="9">
      <c r="A9" s="3">
        <f>Inputs!A7</f>
        <v/>
      </c>
      <c r="B9" s="3">
        <f>Inputs!B7</f>
        <v/>
      </c>
      <c r="C9" s="3">
        <f>Inputs!C7</f>
        <v/>
      </c>
      <c r="D9" s="3">
        <f>Inputs!K7</f>
        <v/>
      </c>
      <c r="E9" s="3">
        <f>D9/$D$22*100</f>
        <v/>
      </c>
      <c r="F9" s="3">
        <f>IF(E9&lt;Study!$B$15,"yes","no")</f>
        <v/>
      </c>
      <c r="G9" s="3">
        <f>Inputs!L7</f>
        <v/>
      </c>
      <c r="H9" s="3">
        <f>Inputs!M7</f>
        <v/>
      </c>
      <c r="I9" s="3">
        <f>Inputs!N7</f>
        <v/>
      </c>
      <c r="J9" s="3">
        <f>Inputs!O7</f>
        <v/>
      </c>
    </row>
    <row r="10">
      <c r="A10" s="3">
        <f>Inputs!A8</f>
        <v/>
      </c>
      <c r="B10" s="3">
        <f>Inputs!B8</f>
        <v/>
      </c>
      <c r="C10" s="3">
        <f>Inputs!C8</f>
        <v/>
      </c>
      <c r="D10" s="3">
        <f>Inputs!K8</f>
        <v/>
      </c>
      <c r="E10" s="3">
        <f>D10/$D$22*100</f>
        <v/>
      </c>
      <c r="F10" s="3">
        <f>IF(E10&lt;Study!$B$15,"yes","no")</f>
        <v/>
      </c>
      <c r="G10" s="3">
        <f>Inputs!L8</f>
        <v/>
      </c>
      <c r="H10" s="3">
        <f>Inputs!M8</f>
        <v/>
      </c>
      <c r="I10" s="3">
        <f>Inputs!N8</f>
        <v/>
      </c>
      <c r="J10" s="3">
        <f>Inputs!O8</f>
        <v/>
      </c>
    </row>
    <row r="11">
      <c r="A11" s="3">
        <f>Inputs!A9</f>
        <v/>
      </c>
      <c r="B11" s="3">
        <f>Inputs!B9</f>
        <v/>
      </c>
      <c r="C11" s="3">
        <f>Inputs!C9</f>
        <v/>
      </c>
      <c r="D11" s="3">
        <f>Inputs!K9</f>
        <v/>
      </c>
      <c r="E11" s="3">
        <f>D11/$D$22*100</f>
        <v/>
      </c>
      <c r="F11" s="3">
        <f>IF(E11&lt;Study!$B$15,"yes","no")</f>
        <v/>
      </c>
      <c r="G11" s="3">
        <f>Inputs!L9</f>
        <v/>
      </c>
      <c r="H11" s="3">
        <f>Inputs!M9</f>
        <v/>
      </c>
      <c r="I11" s="3">
        <f>Inputs!N9</f>
        <v/>
      </c>
      <c r="J11" s="3">
        <f>Inputs!O9</f>
        <v/>
      </c>
    </row>
    <row r="12">
      <c r="A12" s="3">
        <f>Transport!A2</f>
        <v/>
      </c>
      <c r="B12" s="3">
        <f>Transport!B2</f>
        <v/>
      </c>
      <c r="C12" s="3">
        <f>Transport!C2</f>
        <v/>
      </c>
      <c r="D12" s="3">
        <f>Transport!I2</f>
        <v/>
      </c>
      <c r="E12" s="3">
        <f>D12/$D$22*100</f>
        <v/>
      </c>
      <c r="F12" s="3">
        <f>IF(E12&lt;Study!$B$15,"yes","no")</f>
        <v/>
      </c>
      <c r="G12" s="3">
        <f>Transport!J2</f>
        <v/>
      </c>
      <c r="H12" s="3">
        <f>Transport!K2</f>
        <v/>
      </c>
      <c r="I12" s="3">
        <f>Transport!L2</f>
        <v/>
      </c>
      <c r="J12" s="3">
        <f>Transport!M2</f>
        <v/>
      </c>
    </row>
    <row r="13">
      <c r="A13" s="3">
        <f>Transport!A3</f>
        <v/>
      </c>
      <c r="B13" s="3">
        <f>Transport!B3</f>
        <v/>
      </c>
      <c r="C13" s="3">
        <f>Transport!C3</f>
        <v/>
      </c>
      <c r="D13" s="3">
        <f>Transport!I3</f>
        <v/>
      </c>
      <c r="E13" s="3">
        <f>D13/$D$22*100</f>
        <v/>
      </c>
      <c r="F13" s="3">
        <f>IF(E13&lt;Study!$B$15,"yes","no")</f>
        <v/>
      </c>
      <c r="G13" s="3">
        <f>Transport!J3</f>
        <v/>
      </c>
      <c r="H13" s="3">
        <f>Transport!K3</f>
        <v/>
      </c>
      <c r="I13" s="3">
        <f>Transport!L3</f>
        <v/>
      </c>
      <c r="J13" s="3">
        <f>Transport!M3</f>
        <v/>
      </c>
    </row>
    <row r="14">
      <c r="A14" s="3">
        <f>Transport!A4</f>
        <v/>
      </c>
      <c r="B14" s="3">
        <f>Transport!B4</f>
        <v/>
      </c>
      <c r="C14" s="3">
        <f>Transport!C4</f>
        <v/>
      </c>
      <c r="D14" s="3">
        <f>Transport!I4</f>
        <v/>
      </c>
      <c r="E14" s="3">
        <f>D14/$D$22*100</f>
        <v/>
      </c>
      <c r="F14" s="3">
        <f>IF(E14&lt;Study!$B$15,"yes","no")</f>
        <v/>
      </c>
      <c r="G14" s="3">
        <f>Transport!J4</f>
        <v/>
      </c>
      <c r="H14" s="3">
        <f>Transport!K4</f>
        <v/>
      </c>
      <c r="I14" s="3">
        <f>Transport!L4</f>
        <v/>
      </c>
      <c r="J14" s="3">
        <f>Transport!M4</f>
        <v/>
      </c>
    </row>
    <row r="15">
      <c r="A15" s="3">
        <f>Transport!A5</f>
        <v/>
      </c>
      <c r="B15" s="3">
        <f>Transport!B5</f>
        <v/>
      </c>
      <c r="C15" s="3">
        <f>Transport!C5</f>
        <v/>
      </c>
      <c r="D15" s="3">
        <f>Transport!I5</f>
        <v/>
      </c>
      <c r="E15" s="3">
        <f>D15/$D$22*100</f>
        <v/>
      </c>
      <c r="F15" s="3">
        <f>IF(E15&lt;Study!$B$15,"yes","no")</f>
        <v/>
      </c>
      <c r="G15" s="3">
        <f>Transport!J5</f>
        <v/>
      </c>
      <c r="H15" s="3">
        <f>Transport!K5</f>
        <v/>
      </c>
      <c r="I15" s="3">
        <f>Transport!L5</f>
        <v/>
      </c>
      <c r="J15" s="3">
        <f>Transport!M5</f>
        <v/>
      </c>
    </row>
    <row r="16">
      <c r="A16" s="3">
        <f>Allocation!A13</f>
        <v/>
      </c>
      <c r="B16" s="3" t="inlineStr">
        <is>
          <t>A3_energy</t>
        </is>
      </c>
      <c r="C16" s="3">
        <f>Allocation!B13</f>
        <v/>
      </c>
      <c r="D16" s="3">
        <f>Allocation!F13</f>
        <v/>
      </c>
      <c r="E16" s="3">
        <f>D16/$D$22*100</f>
        <v/>
      </c>
      <c r="F16" s="3" t="inlineStr">
        <is>
          <t>n/a</t>
        </is>
      </c>
      <c r="G16" s="3">
        <f>Allocation!G13</f>
        <v/>
      </c>
      <c r="H16" s="3">
        <f>Allocation!H13</f>
        <v/>
      </c>
      <c r="I16" s="3">
        <f>Allocation!I13</f>
        <v/>
      </c>
      <c r="J16" s="3">
        <f>Allocation!J13</f>
        <v/>
      </c>
    </row>
    <row r="17">
      <c r="A17" s="3">
        <f>Allocation!A14</f>
        <v/>
      </c>
      <c r="B17" s="3" t="inlineStr">
        <is>
          <t>A3_energy</t>
        </is>
      </c>
      <c r="C17" s="3">
        <f>Allocation!B14</f>
        <v/>
      </c>
      <c r="D17" s="3">
        <f>Allocation!F14</f>
        <v/>
      </c>
      <c r="E17" s="3">
        <f>D17/$D$22*100</f>
        <v/>
      </c>
      <c r="F17" s="3" t="inlineStr">
        <is>
          <t>n/a</t>
        </is>
      </c>
      <c r="G17" s="3">
        <f>Allocation!G14</f>
        <v/>
      </c>
      <c r="H17" s="3">
        <f>Allocation!H14</f>
        <v/>
      </c>
      <c r="I17" s="3">
        <f>Allocation!I14</f>
        <v/>
      </c>
      <c r="J17" s="3">
        <f>Allocation!J14</f>
        <v/>
      </c>
    </row>
    <row r="18">
      <c r="A18" s="3">
        <f>Allocation!A15</f>
        <v/>
      </c>
      <c r="B18" s="3" t="inlineStr">
        <is>
          <t>A3_energy</t>
        </is>
      </c>
      <c r="C18" s="3">
        <f>Allocation!B15</f>
        <v/>
      </c>
      <c r="D18" s="3">
        <f>Allocation!F15</f>
        <v/>
      </c>
      <c r="E18" s="3">
        <f>D18/$D$22*100</f>
        <v/>
      </c>
      <c r="F18" s="3" t="inlineStr">
        <is>
          <t>n/a</t>
        </is>
      </c>
      <c r="G18" s="3">
        <f>Allocation!G15</f>
        <v/>
      </c>
      <c r="H18" s="3">
        <f>Allocation!H15</f>
        <v/>
      </c>
      <c r="I18" s="3">
        <f>Allocation!I15</f>
        <v/>
      </c>
      <c r="J18" s="3">
        <f>Allocation!J15</f>
        <v/>
      </c>
    </row>
    <row r="19">
      <c r="A19" s="3">
        <f>Allocation!A16</f>
        <v/>
      </c>
      <c r="B19" s="3" t="inlineStr">
        <is>
          <t>A3_energy</t>
        </is>
      </c>
      <c r="C19" s="3">
        <f>Allocation!B16</f>
        <v/>
      </c>
      <c r="D19" s="3">
        <f>Allocation!F16</f>
        <v/>
      </c>
      <c r="E19" s="3">
        <f>D19/$D$22*100</f>
        <v/>
      </c>
      <c r="F19" s="3" t="inlineStr">
        <is>
          <t>n/a</t>
        </is>
      </c>
      <c r="G19" s="3">
        <f>Allocation!G16</f>
        <v/>
      </c>
      <c r="H19" s="3">
        <f>Allocation!H16</f>
        <v/>
      </c>
      <c r="I19" s="3">
        <f>Allocation!I16</f>
        <v/>
      </c>
      <c r="J19" s="3">
        <f>Allocation!J16</f>
        <v/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1" t="inlineStr">
        <is>
          <t>by stage</t>
        </is>
      </c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1" t="inlineStr">
        <is>
          <t>TOTAL kg CO2e per declared unit</t>
        </is>
      </c>
      <c r="D22" s="3">
        <f>SUM(D4:D19)</f>
        <v/>
      </c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1" t="inlineStr">
        <is>
          <t>A1</t>
        </is>
      </c>
      <c r="D23" s="3">
        <f>SUMIF(B4:B19,"A1",D4:D19)</f>
        <v/>
      </c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1" t="inlineStr">
        <is>
          <t>A2</t>
        </is>
      </c>
      <c r="D24" s="3">
        <f>SUMIF(B4:B19,"A2",D4:D19)</f>
        <v/>
      </c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1" t="inlineStr">
        <is>
          <t>A3_energy</t>
        </is>
      </c>
      <c r="D25" s="3">
        <f>SUMIF(B4:B19,"A3_energy",D4:D19)</f>
        <v/>
      </c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1" t="inlineStr">
        <is>
          <t>A3_packaging</t>
        </is>
      </c>
      <c r="D26" s="3">
        <f>SUMIF(B4:B19,"A3_packaging",D4:D19)</f>
        <v/>
      </c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1" t="inlineStr">
        <is>
          <t>A3_waste</t>
        </is>
      </c>
      <c r="D27" s="3">
        <f>SUMIF(B4:B19,"A3_waste",D4:D19)</f>
        <v/>
      </c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1" t="inlineStr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1" t="inlineStr">
        <is>
          <t>primary_data_share_pct</t>
        </is>
      </c>
      <c r="D29" s="3">
        <f>SUMIF(G4:G19,"primary",D4:D19)/$D$22*100</f>
        <v/>
      </c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1" t="inlineStr">
        <is>
          <t>dqr_technology (emission-weighted)</t>
        </is>
      </c>
      <c r="D30" s="3">
        <f>SUMPRODUCT(D4:D19,H4:H19)/$D$22</f>
        <v/>
      </c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1" t="inlineStr">
        <is>
          <t>dqr_geography (emission-weighted)</t>
        </is>
      </c>
      <c r="D31" s="3">
        <f>SUMPRODUCT(D4:D19,I4:I19)/$D$22</f>
        <v/>
      </c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1" t="inlineStr">
        <is>
          <t>dqr_time (emission-weighted)</t>
        </is>
      </c>
      <c r="D32" s="3">
        <f>SUMPRODUCT(D4:D19,J4:J19)/$D$22</f>
        <v/>
      </c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1" t="inlineStr">
        <is>
          <t>dqr_overall (mean of the three)</t>
        </is>
      </c>
      <c r="D33" s="3">
        <f>AVERAGE(D30:D32)</f>
        <v/>
      </c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1" t="inlineStr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1" t="inlineStr">
        <is>
          <t>cut-off: lines below threshold, % of total</t>
        </is>
      </c>
      <c r="D35" s="3">
        <f>SUMIF(F4:F19,"yes",D4:D19)/$D$22*100</f>
        <v/>
      </c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1" t="inlineStr">
        <is>
          <t>cut-off: within limit (&lt; 5% in total)</t>
        </is>
      </c>
      <c r="D36" s="3">
        <f>IF(D35&lt;Study!$B$16,"yes","NO")</f>
        <v/>
      </c>
      <c r="E36" s="3" t="n"/>
      <c r="F36" s="3" t="n"/>
      <c r="G36" s="3" t="n"/>
      <c r="H36" s="3" t="n"/>
      <c r="I36" s="3" t="n"/>
      <c r="J3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</cols>
  <sheetData>
    <row r="1">
      <c r="A1" s="1" t="inlineStr">
        <is>
          <t>Σ PCF(A3 energy) × approved production vs plant Scope 1+2 (only the pilot is footprinted, so coverage is low by design)</t>
        </is>
      </c>
      <c r="B1" s="3" t="n"/>
    </row>
    <row r="2">
      <c r="A2" s="3" t="n"/>
      <c r="B2" s="3" t="n"/>
    </row>
    <row r="3">
      <c r="A3" s="3" t="inlineStr">
        <is>
          <t>plant Scope 1+2, tCO2e</t>
        </is>
      </c>
      <c r="B3" s="3">
        <f>SUM(Allocation!D13:D16)</f>
        <v/>
      </c>
    </row>
    <row r="4">
      <c r="A4" s="3" t="inlineStr">
        <is>
          <t>pilot A3 energy kg/unit</t>
        </is>
      </c>
      <c r="B4" s="3">
        <f>Result!$D$25</f>
        <v/>
      </c>
    </row>
    <row r="5">
      <c r="A5" s="3" t="inlineStr">
        <is>
          <t>pilot output, declared units</t>
        </is>
      </c>
      <c r="B5" s="3">
        <f>Allocation!$B$10</f>
        <v/>
      </c>
    </row>
    <row r="6">
      <c r="A6" s="3" t="inlineStr">
        <is>
          <t>covered tCO2e</t>
        </is>
      </c>
      <c r="B6" s="3">
        <f>B4*B5/1000</f>
        <v/>
      </c>
    </row>
    <row r="7">
      <c r="A7" s="3" t="inlineStr">
        <is>
          <t>coverage %</t>
        </is>
      </c>
      <c r="B7" s="3">
        <f>B6/B3*100</f>
        <v/>
      </c>
    </row>
    <row r="8">
      <c r="A8" s="3" t="inlineStr">
        <is>
          <t>flag (&lt; 90% = a product is missing a footprint or the key is off)</t>
        </is>
      </c>
      <c r="B8" s="3">
        <f>IF(B7&lt;90,"below 90%","ok")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2026-10-09T10:44:53Z</dcterms:created>
  <dcterms:modified xmlns:dcterms="http://purl.org/dc/terms/" xmlns:xsi="http://www.w3.org/2001/XMLSchema-instance" xsi:type="dcterms:W3CDTF">2026-10-09T10:44:53Z</dcterms:modified>
</cp:coreProperties>
</file>